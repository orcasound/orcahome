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rand\Desktop\Assets\"/>
    </mc:Choice>
  </mc:AlternateContent>
  <xr:revisionPtr revIDLastSave="0" documentId="13_ncr:1_{8E9F9F80-E368-42B5-AC64-68D9FAECD4DD}" xr6:coauthVersionLast="47" xr6:coauthVersionMax="47" xr10:uidLastSave="{00000000-0000-0000-0000-000000000000}"/>
  <bookViews>
    <workbookView xWindow="-108" yWindow="-108" windowWidth="23256" windowHeight="12576" xr2:uid="{00000000-000D-0000-FFFF-FFFF00000000}"/>
  </bookViews>
  <sheets>
    <sheet name="Browser Test Matri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1" l="1"/>
  <c r="M9" i="1"/>
  <c r="M8" i="1"/>
  <c r="M7" i="1"/>
</calcChain>
</file>

<file path=xl/sharedStrings.xml><?xml version="1.0" encoding="utf-8"?>
<sst xmlns="http://schemas.openxmlformats.org/spreadsheetml/2006/main" count="123" uniqueCount="55">
  <si>
    <t>Use ✓ / ✗ / N/A / — to record manual results for each browser and core test case</t>
  </si>
  <si>
    <t>✓</t>
  </si>
  <si>
    <t>Pass</t>
  </si>
  <si>
    <t>✗</t>
  </si>
  <si>
    <t>Fail / bug</t>
  </si>
  <si>
    <t>N/A</t>
  </si>
  <si>
    <t>Not applicable</t>
  </si>
  <si>
    <t>—</t>
  </si>
  <si>
    <t>Not tested yet</t>
  </si>
  <si>
    <t>Browser / Device
Environment</t>
  </si>
  <si>
    <t>Page load</t>
  </si>
  <si>
    <t>Layout</t>
  </si>
  <si>
    <t>Navigation</t>
  </si>
  <si>
    <t>Links /
buttons</t>
  </si>
  <si>
    <t>Responsive</t>
  </si>
  <si>
    <t>Audio /
media</t>
  </si>
  <si>
    <t>Forms /
modals</t>
  </si>
  <si>
    <t>Console
errors</t>
  </si>
  <si>
    <t>Notes / bugs</t>
  </si>
  <si>
    <t>Summary</t>
  </si>
  <si>
    <t>Count</t>
  </si>
  <si>
    <t>Chrome
Desktop · Required</t>
  </si>
  <si>
    <t>Firefox
Desktop · Required</t>
  </si>
  <si>
    <t>Safari
Desktop · Required</t>
  </si>
  <si>
    <t>iOS Safari
Mobile · Required</t>
  </si>
  <si>
    <t>Not tested</t>
  </si>
  <si>
    <t>Android Chrome
Mobile · Required</t>
  </si>
  <si>
    <t>Android Firefox
Mobile · Required</t>
  </si>
  <si>
    <t>iOS Chrome
Mobile · Optional spot check</t>
  </si>
  <si>
    <t>Spot check</t>
  </si>
  <si>
    <t>iOS Firefox
Mobile · Optional spot check</t>
  </si>
  <si>
    <t>Suggested test-case meaning</t>
  </si>
  <si>
    <t>Page load:</t>
  </si>
  <si>
    <t>Main page opens without blank screen, broken assets, or infinite loading.</t>
  </si>
  <si>
    <t>Responsive:</t>
  </si>
  <si>
    <t>Desktop resize and mobile viewport behavior are usable.</t>
  </si>
  <si>
    <t>Layout:</t>
  </si>
  <si>
    <t>No overlapping text, clipped content, broken spacing, or horizontal overflow.</t>
  </si>
  <si>
    <t>Audio / media:</t>
  </si>
  <si>
    <t>Audio loads, play/pause works, controls render, and media errors are handled.</t>
  </si>
  <si>
    <t>Navigation:</t>
  </si>
  <si>
    <t>Header/nav/page links route correctly and back/forward behavior is okay.</t>
  </si>
  <si>
    <t>Forms / modals:</t>
  </si>
  <si>
    <t>Inputs, validation, empty states, modal open/close behavior work.</t>
  </si>
  <si>
    <t>Links / buttons:</t>
  </si>
  <si>
    <t>Clickable elements, controls, dropdowns, and close actions work.</t>
  </si>
  <si>
    <t>Console errors:</t>
  </si>
  <si>
    <t>No uncaught errors during normal flows.</t>
  </si>
  <si>
    <t>[HMR] Invalid message: {"type":"isrManifest","data":{"/":true}}
handleStaticIndicator@http://localhost:3000/_next/static/chunks/03wc_next_dist_client_0pjawlz._.js:2792:27
processMessage@http://localhost:3000/_next/static/chunks/03wc_next_dist_client_0pjawlz._.js:2806:17
connect/&lt;@http://localhost:3000/_next/static/chunks/03wc_next_dist_client_0pjawlz._.js:2680:27
handleMessage@http://localhost:3000/_next/static/chunks/03wc_next_dist_client_0pjawlz._.js:2325:32
forward-logs-shared.ts:95:22
The script from “http://localhost:3000/_next/static/development/_clientMiddlewareManifest.js” was loaded even though its MIME type (“application/json”) is not a valid JavaScript MIME type.The value of the attribute “expires” for the cookie “_ga_ZVQHKE47R1” has been overwritten.The resource at “http://localhost:3000/_next/static/media/homepage.16qx_oy.5xys6.png” preloaded with link preload was not used within a few seconds. Make sure all attributes of the preload tag are set correctly. These warnings appear in the console for the home page, get involved, learn, notify me, support, and hacker hall of fame pages. Module not found: Can't resolve '@sanity/client'. Build error occurs on about us page</t>
  </si>
  <si>
    <t>Module not found: Can't resolve '@sanity/client'. Build error occurs on about us page.Failed to load resource: the server responded with a status of 500 (Internal Server Error) on learn page. installHook.js:1 [HMR] Invalid message: {"type":"isrManifest","data":{"/hacker-hall-of-fame":true,"/getinvolved":true,"/":true}}
TypeError: Cannot read properties of undefined (reading 'components')
    at handleStaticIndicator (03wc_next_dist_clien…pjawlz._.js:2792:46)
    at processMessage (03wc_next_dist_clien…pjawlz._.js:2806:17)
    at 03wc_next_dist_clien…pjawlz._.js:2680:13
    at WebSocket.handleMessage (03wc_next_dist_clien…pjawlz._.js:2325:17)on the hacker hall of fame page.</t>
  </si>
  <si>
    <t>home page: [Warning] [HMR] Invalid message: {"type":"isrManifest","data":{"/":true}} (03wc_next_dist_0i38~dv._.js, line 1234)
handleStaticIndicator@http://localhost:3000/_next/static/chunks/03wc_next_dist_client_0pjawlz._.js:2792:45
processMessage@http://localhost:3000/_next/static/chunks/03wc_next_dist_client_0pjawlz._.js:2806:38
@http://localhost:3000/_next/static/chunks/03wc_next_dist_client_0pjawlz._.js:2680:27
handleMessage@http://localhost:3000/_next/static/chunks/03wc_next_dist_client_0pjawlz._.js:2325:32.[Warning] Source Map "http://localhost:3000/_next/static/chunks/03wc_0a9s0iv._.js.map" has invalid "mappings"
[Warning] Source Map "http://localhost:3000/_next/static/chunks/03wc_05swcyw._.js.map" has invalid "mappings".hhof: [Warning] The resource http://localhost:3000/_next/static/media/logo-white.0wcezvgric4rr.svg was preloaded using link preload but not used within a few seconds from the window's load event. Please make sure it wasn't preloaded for nothing. Learn page and donate page also have these warnings.Module not found: Can't resolve '@sanity/client' this error appears on the about us page.</t>
  </si>
  <si>
    <t xml:space="preserve">All warnings that appeared in the  desktop version test appeared in the ios safari test. This also includes the build error that happens when navigating to about us page. The link to dontate page does not appear in the navigation drop down menu after clicking the hamburger symbol. These errors and warnings also appear in ipad. </t>
  </si>
  <si>
    <t>The error and warnings that appeared in the desktop  version of chrome appear on android as well. There's also an issue with the nav links. For mobile, Android, the link for the donate page does not appear after clicking on the hamburger menu symbol. These also appear on tablet</t>
  </si>
  <si>
    <t>All warnings that appeared in the firefox desktop version test appeared in the android test. This also includes the build error that happens when navigating to about us page. The link to dontate page does not appear in the navigation drop down menu after clicking the hamburger symbol. These also appear on tablet</t>
  </si>
  <si>
    <t>Browser Compatibility Test Matrix completed on 7-13-26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</si>
</sst>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20"/>
      <color rgb="FF20262D"/>
      <name val="Carlito"/>
    </font>
    <font>
      <sz val="11"/>
      <color rgb="FF5B6470"/>
      <name val="Carlito"/>
    </font>
    <font>
      <b/>
      <sz val="11"/>
      <color rgb="FFFFFFFF"/>
      <name val="Carlito"/>
    </font>
    <font>
      <b/>
      <sz val="11"/>
      <name val="Carlito"/>
    </font>
    <font>
      <b/>
      <sz val="14"/>
      <name val="Carlito"/>
    </font>
    <font>
      <b/>
      <sz val="12"/>
      <name val="Carlito"/>
    </font>
  </fonts>
  <fills count="6">
    <fill>
      <patternFill patternType="none"/>
    </fill>
    <fill>
      <patternFill patternType="gray125"/>
    </fill>
    <fill>
      <patternFill patternType="solid">
        <fgColor rgb="FFF1F6F9"/>
      </patternFill>
    </fill>
    <fill>
      <patternFill patternType="solid">
        <fgColor rgb="FF20323F"/>
      </patternFill>
    </fill>
    <fill>
      <patternFill patternType="solid">
        <fgColor rgb="FFEEF4F8"/>
      </patternFill>
    </fill>
    <fill>
      <patternFill patternType="solid">
        <fgColor rgb="FFF8FAFC"/>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applyAlignment="1">
      <alignment horizontal="center" vertical="center"/>
    </xf>
    <xf numFmtId="0" fontId="3" fillId="3" borderId="0" xfId="0" applyFont="1" applyFill="1"/>
    <xf numFmtId="0" fontId="3" fillId="3" borderId="0" xfId="0" applyFont="1" applyFill="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0" fillId="4" borderId="0" xfId="0" applyFill="1" applyAlignment="1">
      <alignment wrapText="1"/>
    </xf>
    <xf numFmtId="0" fontId="4" fillId="4" borderId="0" xfId="0" applyFont="1" applyFill="1" applyAlignment="1">
      <alignment wrapText="1"/>
    </xf>
    <xf numFmtId="0" fontId="0" fillId="5" borderId="0" xfId="0" applyFill="1"/>
    <xf numFmtId="0" fontId="1" fillId="0" borderId="0" xfId="0" applyFont="1"/>
    <xf numFmtId="0" fontId="0" fillId="0" borderId="0" xfId="0"/>
    <xf numFmtId="0" fontId="2" fillId="0" borderId="0" xfId="0" applyFont="1"/>
    <xf numFmtId="0" fontId="6" fillId="4" borderId="0" xfId="0" applyFont="1" applyFill="1" applyAlignment="1">
      <alignment wrapText="1"/>
    </xf>
    <xf numFmtId="0" fontId="0" fillId="4" borderId="0" xfId="0" applyFill="1" applyAlignment="1">
      <alignment wrapText="1"/>
    </xf>
  </cellXfs>
  <cellStyles count="1">
    <cellStyle name="Normal" xfId="0" builtinId="0"/>
  </cellStyles>
  <dxfs count="4">
    <dxf>
      <font>
        <b/>
        <color rgb="FF92400E"/>
      </font>
      <fill>
        <patternFill patternType="solid">
          <bgColor rgb="FFFEF3C7"/>
        </patternFill>
      </fill>
    </dxf>
    <dxf>
      <font>
        <b/>
        <color rgb="FF4B5563"/>
      </font>
      <fill>
        <patternFill patternType="solid">
          <bgColor rgb="FFE5E7EB"/>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sqref="A1:J1"/>
    </sheetView>
  </sheetViews>
  <sheetFormatPr defaultRowHeight="13.8"/>
  <cols>
    <col min="1" max="1" width="28" customWidth="1"/>
    <col min="2" max="4" width="13" customWidth="1"/>
    <col min="5" max="5" width="15" customWidth="1"/>
    <col min="6" max="6" width="13" customWidth="1"/>
    <col min="7" max="7" width="14" customWidth="1"/>
    <col min="8" max="8" width="15" customWidth="1"/>
    <col min="9" max="9" width="14" customWidth="1"/>
    <col min="10" max="10" width="18" customWidth="1"/>
    <col min="12" max="12" width="15" customWidth="1"/>
    <col min="13" max="13" width="10" customWidth="1"/>
  </cols>
  <sheetData>
    <row r="1" spans="1:13" ht="24.6">
      <c r="A1" s="10" t="s">
        <v>54</v>
      </c>
      <c r="B1" s="11"/>
      <c r="C1" s="11"/>
      <c r="D1" s="11"/>
      <c r="E1" s="11"/>
      <c r="F1" s="11"/>
      <c r="G1" s="11"/>
      <c r="H1" s="11"/>
      <c r="I1" s="11"/>
      <c r="J1" s="11"/>
    </row>
    <row r="2" spans="1:13">
      <c r="A2" s="12" t="s">
        <v>0</v>
      </c>
      <c r="B2" s="11"/>
      <c r="C2" s="11"/>
      <c r="D2" s="11"/>
      <c r="E2" s="11"/>
      <c r="F2" s="11"/>
      <c r="G2" s="11"/>
      <c r="H2" s="11"/>
      <c r="I2" s="11"/>
      <c r="J2" s="11"/>
    </row>
    <row r="4" spans="1:13">
      <c r="A4" s="1" t="s">
        <v>1</v>
      </c>
      <c r="B4" s="1" t="s">
        <v>2</v>
      </c>
      <c r="C4" s="1" t="s">
        <v>3</v>
      </c>
      <c r="D4" s="1" t="s">
        <v>4</v>
      </c>
      <c r="E4" s="1" t="s">
        <v>5</v>
      </c>
      <c r="F4" s="1" t="s">
        <v>6</v>
      </c>
      <c r="G4" s="1" t="s">
        <v>7</v>
      </c>
      <c r="H4" s="1" t="s">
        <v>8</v>
      </c>
    </row>
    <row r="6" spans="1:13" ht="33.6" customHeight="1">
      <c r="A6" s="3" t="s">
        <v>9</v>
      </c>
      <c r="B6" s="3" t="s">
        <v>10</v>
      </c>
      <c r="C6" s="3" t="s">
        <v>11</v>
      </c>
      <c r="D6" s="3" t="s">
        <v>12</v>
      </c>
      <c r="E6" s="3" t="s">
        <v>13</v>
      </c>
      <c r="F6" s="3" t="s">
        <v>14</v>
      </c>
      <c r="G6" s="3" t="s">
        <v>15</v>
      </c>
      <c r="H6" s="3" t="s">
        <v>16</v>
      </c>
      <c r="I6" s="3" t="s">
        <v>17</v>
      </c>
      <c r="J6" s="3" t="s">
        <v>18</v>
      </c>
      <c r="L6" s="2" t="s">
        <v>19</v>
      </c>
      <c r="M6" s="2" t="s">
        <v>20</v>
      </c>
    </row>
    <row r="7" spans="1:13" ht="28.8" customHeight="1">
      <c r="A7" s="5" t="s">
        <v>21</v>
      </c>
      <c r="B7" s="6" t="s">
        <v>1</v>
      </c>
      <c r="C7" s="6" t="s">
        <v>1</v>
      </c>
      <c r="D7" s="6" t="s">
        <v>1</v>
      </c>
      <c r="E7" s="6" t="s">
        <v>1</v>
      </c>
      <c r="F7" s="6" t="s">
        <v>1</v>
      </c>
      <c r="G7" s="6" t="s">
        <v>1</v>
      </c>
      <c r="H7" s="6" t="s">
        <v>1</v>
      </c>
      <c r="I7" s="6" t="s">
        <v>3</v>
      </c>
      <c r="J7" s="4" t="s">
        <v>49</v>
      </c>
      <c r="L7" s="9" t="s">
        <v>2</v>
      </c>
      <c r="M7" s="9">
        <f>COUNTIF(B7:I14,"✓")</f>
        <v>42</v>
      </c>
    </row>
    <row r="8" spans="1:13" ht="28.8" customHeight="1">
      <c r="A8" s="5" t="s">
        <v>22</v>
      </c>
      <c r="B8" s="6" t="s">
        <v>1</v>
      </c>
      <c r="C8" s="6" t="s">
        <v>1</v>
      </c>
      <c r="D8" s="6" t="s">
        <v>1</v>
      </c>
      <c r="E8" s="6" t="s">
        <v>1</v>
      </c>
      <c r="F8" s="6" t="s">
        <v>1</v>
      </c>
      <c r="G8" s="6" t="s">
        <v>1</v>
      </c>
      <c r="H8" s="6" t="s">
        <v>1</v>
      </c>
      <c r="I8" s="6" t="s">
        <v>3</v>
      </c>
      <c r="J8" s="4" t="s">
        <v>48</v>
      </c>
      <c r="L8" s="9" t="s">
        <v>4</v>
      </c>
      <c r="M8" s="9">
        <f>COUNTIF(B7:I14,"✗")</f>
        <v>6</v>
      </c>
    </row>
    <row r="9" spans="1:13" ht="28.8" customHeight="1">
      <c r="A9" s="5" t="s">
        <v>23</v>
      </c>
      <c r="B9" s="6" t="s">
        <v>1</v>
      </c>
      <c r="C9" s="6" t="s">
        <v>1</v>
      </c>
      <c r="D9" s="6" t="s">
        <v>1</v>
      </c>
      <c r="E9" s="6" t="s">
        <v>1</v>
      </c>
      <c r="F9" s="6" t="s">
        <v>1</v>
      </c>
      <c r="G9" s="6" t="s">
        <v>1</v>
      </c>
      <c r="H9" s="6" t="s">
        <v>1</v>
      </c>
      <c r="I9" s="6" t="s">
        <v>3</v>
      </c>
      <c r="J9" s="4" t="s">
        <v>50</v>
      </c>
      <c r="L9" s="9" t="s">
        <v>5</v>
      </c>
      <c r="M9" s="9">
        <f>COUNTIF(B7:I14,"N/A")</f>
        <v>0</v>
      </c>
    </row>
    <row r="10" spans="1:13" ht="28.8" customHeight="1">
      <c r="A10" s="5" t="s">
        <v>24</v>
      </c>
      <c r="B10" s="6" t="s">
        <v>1</v>
      </c>
      <c r="C10" s="6" t="s">
        <v>1</v>
      </c>
      <c r="D10" s="6" t="s">
        <v>1</v>
      </c>
      <c r="E10" s="6" t="s">
        <v>1</v>
      </c>
      <c r="F10" s="6" t="s">
        <v>1</v>
      </c>
      <c r="G10" s="6" t="s">
        <v>1</v>
      </c>
      <c r="H10" s="6" t="s">
        <v>1</v>
      </c>
      <c r="I10" s="6" t="s">
        <v>3</v>
      </c>
      <c r="J10" s="4" t="s">
        <v>51</v>
      </c>
      <c r="L10" s="9" t="s">
        <v>25</v>
      </c>
      <c r="M10" s="9">
        <f>COUNTIF(B7:I14,"—")</f>
        <v>16</v>
      </c>
    </row>
    <row r="11" spans="1:13" ht="28.8" customHeight="1">
      <c r="A11" s="5" t="s">
        <v>26</v>
      </c>
      <c r="B11" s="6" t="s">
        <v>1</v>
      </c>
      <c r="C11" s="6" t="s">
        <v>1</v>
      </c>
      <c r="D11" s="6" t="s">
        <v>1</v>
      </c>
      <c r="E11" s="6" t="s">
        <v>1</v>
      </c>
      <c r="F11" s="6" t="s">
        <v>1</v>
      </c>
      <c r="G11" s="6" t="s">
        <v>1</v>
      </c>
      <c r="H11" s="6" t="s">
        <v>1</v>
      </c>
      <c r="I11" s="6" t="s">
        <v>3</v>
      </c>
      <c r="J11" s="4" t="s">
        <v>52</v>
      </c>
    </row>
    <row r="12" spans="1:13" ht="28.8" customHeight="1">
      <c r="A12" s="5" t="s">
        <v>27</v>
      </c>
      <c r="B12" s="6" t="s">
        <v>1</v>
      </c>
      <c r="C12" s="6" t="s">
        <v>1</v>
      </c>
      <c r="D12" s="6" t="s">
        <v>1</v>
      </c>
      <c r="E12" s="6" t="s">
        <v>1</v>
      </c>
      <c r="F12" s="6" t="s">
        <v>1</v>
      </c>
      <c r="G12" s="6" t="s">
        <v>1</v>
      </c>
      <c r="H12" s="6" t="s">
        <v>1</v>
      </c>
      <c r="I12" s="6" t="s">
        <v>3</v>
      </c>
      <c r="J12" s="4" t="s">
        <v>53</v>
      </c>
    </row>
    <row r="13" spans="1:13" ht="28.8" customHeight="1">
      <c r="A13" s="5" t="s">
        <v>28</v>
      </c>
      <c r="B13" s="6" t="s">
        <v>7</v>
      </c>
      <c r="C13" s="6" t="s">
        <v>7</v>
      </c>
      <c r="D13" s="6" t="s">
        <v>7</v>
      </c>
      <c r="E13" s="6" t="s">
        <v>7</v>
      </c>
      <c r="F13" s="6" t="s">
        <v>7</v>
      </c>
      <c r="G13" s="6" t="s">
        <v>7</v>
      </c>
      <c r="H13" s="6" t="s">
        <v>7</v>
      </c>
      <c r="I13" s="6" t="s">
        <v>7</v>
      </c>
      <c r="J13" s="4" t="s">
        <v>29</v>
      </c>
    </row>
    <row r="14" spans="1:13" ht="28.8" customHeight="1">
      <c r="A14" s="5" t="s">
        <v>30</v>
      </c>
      <c r="B14" s="6" t="s">
        <v>7</v>
      </c>
      <c r="C14" s="6" t="s">
        <v>7</v>
      </c>
      <c r="D14" s="6" t="s">
        <v>7</v>
      </c>
      <c r="E14" s="6" t="s">
        <v>7</v>
      </c>
      <c r="F14" s="6" t="s">
        <v>7</v>
      </c>
      <c r="G14" s="6" t="s">
        <v>7</v>
      </c>
      <c r="H14" s="6" t="s">
        <v>7</v>
      </c>
      <c r="I14" s="6" t="s">
        <v>7</v>
      </c>
      <c r="J14" s="4" t="s">
        <v>29</v>
      </c>
    </row>
    <row r="17" spans="1:10" ht="14.4">
      <c r="A17" s="13" t="s">
        <v>31</v>
      </c>
      <c r="B17" s="14"/>
      <c r="C17" s="14"/>
      <c r="D17" s="14"/>
      <c r="E17" s="14"/>
      <c r="F17" s="14"/>
      <c r="G17" s="14"/>
      <c r="H17" s="14"/>
      <c r="I17" s="14"/>
      <c r="J17" s="14"/>
    </row>
    <row r="18" spans="1:10" ht="82.8">
      <c r="A18" s="8" t="s">
        <v>32</v>
      </c>
      <c r="B18" s="7" t="s">
        <v>33</v>
      </c>
      <c r="C18" s="7"/>
      <c r="D18" s="7"/>
      <c r="E18" s="7"/>
      <c r="F18" s="8" t="s">
        <v>34</v>
      </c>
      <c r="G18" s="7" t="s">
        <v>35</v>
      </c>
      <c r="H18" s="7"/>
      <c r="I18" s="7"/>
      <c r="J18" s="7"/>
    </row>
    <row r="19" spans="1:10" ht="110.4">
      <c r="A19" s="8" t="s">
        <v>36</v>
      </c>
      <c r="B19" s="7" t="s">
        <v>37</v>
      </c>
      <c r="C19" s="7"/>
      <c r="D19" s="7"/>
      <c r="E19" s="7"/>
      <c r="F19" s="8" t="s">
        <v>38</v>
      </c>
      <c r="G19" s="7" t="s">
        <v>39</v>
      </c>
      <c r="H19" s="7"/>
      <c r="I19" s="7"/>
      <c r="J19" s="7"/>
    </row>
    <row r="20" spans="1:10" ht="82.8">
      <c r="A20" s="8" t="s">
        <v>40</v>
      </c>
      <c r="B20" s="7" t="s">
        <v>41</v>
      </c>
      <c r="C20" s="7"/>
      <c r="D20" s="7"/>
      <c r="E20" s="7"/>
      <c r="F20" s="8" t="s">
        <v>42</v>
      </c>
      <c r="G20" s="7" t="s">
        <v>43</v>
      </c>
      <c r="H20" s="7"/>
      <c r="I20" s="7"/>
      <c r="J20" s="7"/>
    </row>
    <row r="21" spans="1:10" ht="82.8">
      <c r="A21" s="8" t="s">
        <v>44</v>
      </c>
      <c r="B21" s="7" t="s">
        <v>45</v>
      </c>
      <c r="C21" s="7"/>
      <c r="D21" s="7"/>
      <c r="E21" s="7"/>
      <c r="F21" s="8" t="s">
        <v>46</v>
      </c>
      <c r="G21" s="7" t="s">
        <v>47</v>
      </c>
      <c r="H21" s="7"/>
      <c r="I21" s="7"/>
      <c r="J21" s="7"/>
    </row>
  </sheetData>
  <mergeCells count="3">
    <mergeCell ref="A1:J1"/>
    <mergeCell ref="A2:J2"/>
    <mergeCell ref="A17:J17"/>
  </mergeCells>
  <conditionalFormatting sqref="B7:I14">
    <cfRule type="expression" dxfId="3" priority="1">
      <formula>B7="✓"</formula>
    </cfRule>
    <cfRule type="expression" dxfId="2" priority="2">
      <formula>B7="✗"</formula>
    </cfRule>
    <cfRule type="expression" dxfId="1" priority="3">
      <formula>B7="N/A"</formula>
    </cfRule>
    <cfRule type="expression" dxfId="0" priority="4">
      <formula>B7="—"</formula>
    </cfRule>
  </conditionalFormatting>
  <dataValidations count="1">
    <dataValidation type="list" sqref="B7:I14" xr:uid="{00000000-0002-0000-0000-000000000000}">
      <formula1>"✓,✗,N/A,—"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Browser Test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stephen.aranda</cp:lastModifiedBy>
  <dcterms:modified xsi:type="dcterms:W3CDTF">2026-07-13T17:05:19Z</dcterms:modified>
</cp:coreProperties>
</file>