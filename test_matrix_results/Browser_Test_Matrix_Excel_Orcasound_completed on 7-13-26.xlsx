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rand\Desktop\Assets\"/>
    </mc:Choice>
  </mc:AlternateContent>
  <xr:revisionPtr revIDLastSave="0" documentId="13_ncr:1_{645402B0-27DF-46DF-83A5-AD8560EC94F5}" xr6:coauthVersionLast="47" xr6:coauthVersionMax="47" xr10:uidLastSave="{00000000-0000-0000-0000-000000000000}"/>
  <bookViews>
    <workbookView xWindow="-108" yWindow="-108" windowWidth="23256" windowHeight="12576" xr2:uid="{00000000-000D-0000-FFFF-FFFF00000000}"/>
  </bookViews>
  <sheets>
    <sheet name="Browser Test Matrix"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 i="1" l="1"/>
  <c r="M9" i="1"/>
  <c r="M8" i="1"/>
  <c r="M7" i="1"/>
</calcChain>
</file>

<file path=xl/sharedStrings.xml><?xml version="1.0" encoding="utf-8"?>
<sst xmlns="http://schemas.openxmlformats.org/spreadsheetml/2006/main" count="132" uniqueCount="64">
  <si>
    <t>Use ✓ / ✗ / N/A / — to record manual results for each browser and core test case</t>
  </si>
  <si>
    <t>✓</t>
  </si>
  <si>
    <t>Pass</t>
  </si>
  <si>
    <t>✗</t>
  </si>
  <si>
    <t>Fail / bug</t>
  </si>
  <si>
    <t>N/A</t>
  </si>
  <si>
    <t>Not applicable</t>
  </si>
  <si>
    <t>—</t>
  </si>
  <si>
    <t>Not tested yet</t>
  </si>
  <si>
    <t>Browser / Device
Environment</t>
  </si>
  <si>
    <t>Page load</t>
  </si>
  <si>
    <t>Layout</t>
  </si>
  <si>
    <t>Navigation</t>
  </si>
  <si>
    <t>Links /
buttons</t>
  </si>
  <si>
    <t>Responsive</t>
  </si>
  <si>
    <t>Audio /
media</t>
  </si>
  <si>
    <t>Forms /
modals</t>
  </si>
  <si>
    <t>Console
errors</t>
  </si>
  <si>
    <t>Notes / bugs</t>
  </si>
  <si>
    <t>Summary</t>
  </si>
  <si>
    <t>Count</t>
  </si>
  <si>
    <t>Chrome
Desktop · Required</t>
  </si>
  <si>
    <t>Firefox
Desktop · Required</t>
  </si>
  <si>
    <t>Safari
Desktop · Required</t>
  </si>
  <si>
    <t>iOS Safari
Mobile · Required</t>
  </si>
  <si>
    <t>Not tested</t>
  </si>
  <si>
    <t>Android Chrome
Mobile · Required</t>
  </si>
  <si>
    <t>Android Firefox
Mobile · Required</t>
  </si>
  <si>
    <t>iOS Chrome
Mobile · Optional spot check</t>
  </si>
  <si>
    <t>Spot check</t>
  </si>
  <si>
    <t>iOS Firefox
Mobile · Optional spot check</t>
  </si>
  <si>
    <t>Suggested test-case meaning</t>
  </si>
  <si>
    <t>Page load:</t>
  </si>
  <si>
    <t>Main page opens without blank screen, broken assets, or infinite loading.</t>
  </si>
  <si>
    <t>Responsive:</t>
  </si>
  <si>
    <t>Desktop resize and mobile viewport behavior are usable.</t>
  </si>
  <si>
    <t>Layout:</t>
  </si>
  <si>
    <t>No overlapping text, clipped content, broken spacing, or horizontal overflow.</t>
  </si>
  <si>
    <t>Audio / media:</t>
  </si>
  <si>
    <t>Audio loads, play/pause works, controls render, and media errors are handled.</t>
  </si>
  <si>
    <t>Navigation:</t>
  </si>
  <si>
    <t>Header/nav/page links route correctly and back/forward behavior is okay.</t>
  </si>
  <si>
    <t>Forms / modals:</t>
  </si>
  <si>
    <t>Inputs, validation, empty states, modal open/close behavior work.</t>
  </si>
  <si>
    <t>Links / buttons:</t>
  </si>
  <si>
    <t>Clickable elements, controls, dropdowns, and close actions work.</t>
  </si>
  <si>
    <t>Console errors:</t>
  </si>
  <si>
    <t>No uncaught errors during normal flows.</t>
  </si>
  <si>
    <t>[HMR] Invalid message: {"type":"isrManifest","data":{"/":true}}
handleStaticIndicator@http://localhost:3000/_next/static/chunks/03wc_next_dist_client_0pjawlz._.js:2792:27
processMessage@http://localhost:3000/_next/static/chunks/03wc_next_dist_client_0pjawlz._.js:2806:17
connect/&lt;@http://localhost:3000/_next/static/chunks/03wc_next_dist_client_0pjawlz._.js:2680:27
handleMessage@http://localhost:3000/_next/static/chunks/03wc_next_dist_client_0pjawlz._.js:2325:32
forward-logs-shared.ts:95:22
The script from “http://localhost:3000/_next/static/development/_clientMiddlewareManifest.js” was loaded even though its MIME type (“application/json”) is not a valid JavaScript MIME type.The value of the attribute “expires” for the cookie “_ga_ZVQHKE47R1” has been overwritten.The resource at “http://localhost:3000/_next/static/media/homepage.16qx_oy.5xys6.png” preloaded with link preload was not used within a few seconds. Make sure all attributes of the preload tag are set correctly. These warnings appear in the console for the home page, get involved, learn, notify me, support, and hacker hall of fame pages. Module not found: Can't resolve '@sanity/client'. Build error occurs on about us page</t>
  </si>
  <si>
    <t>Module not found: Can't resolve '@sanity/client'. Build error occurs on about us page.Failed to load resource: the server responded with a status of 500 (Internal Server Error) on learn page. installHook.js:1 [HMR] Invalid message: {"type":"isrManifest","data":{"/hacker-hall-of-fame":true,"/getinvolved":true,"/":true}}
TypeError: Cannot read properties of undefined (reading 'components')
    at handleStaticIndicator (03wc_next_dist_clien…pjawlz._.js:2792:46)
    at processMessage (03wc_next_dist_clien…pjawlz._.js:2806:17)
    at 03wc_next_dist_clien…pjawlz._.js:2680:13
    at WebSocket.handleMessage (03wc_next_dist_clien…pjawlz._.js:2325:17)on the hacker hall of fame page.</t>
  </si>
  <si>
    <t>home page: [Warning] [HMR] Invalid message: {"type":"isrManifest","data":{"/":true}} (03wc_next_dist_0i38~dv._.js, line 1234)
handleStaticIndicator@http://localhost:3000/_next/static/chunks/03wc_next_dist_client_0pjawlz._.js:2792:45
processMessage@http://localhost:3000/_next/static/chunks/03wc_next_dist_client_0pjawlz._.js:2806:38
@http://localhost:3000/_next/static/chunks/03wc_next_dist_client_0pjawlz._.js:2680:27
handleMessage@http://localhost:3000/_next/static/chunks/03wc_next_dist_client_0pjawlz._.js:2325:32.[Warning] Source Map "http://localhost:3000/_next/static/chunks/03wc_0a9s0iv._.js.map" has invalid "mappings"
[Warning] Source Map "http://localhost:3000/_next/static/chunks/03wc_05swcyw._.js.map" has invalid "mappings".hhof: [Warning] The resource http://localhost:3000/_next/static/media/logo-white.0wcezvgric4rr.svg was preloaded using link preload but not used within a few seconds from the window's load event. Please make sure it wasn't preloaded for nothing. Learn page and donate page also have these warnings.Module not found: Can't resolve '@sanity/client' this error appears on the about us page.</t>
  </si>
  <si>
    <t xml:space="preserve">All warnings that appeared in the  desktop version test appeared in the ios safari test. This also includes the build error that happens when navigating to about us page. The link to dontate page does not appear in the navigation drop down menu after clicking the hamburger symbol. These errors and warnings also appear in ipad. </t>
  </si>
  <si>
    <t>The error and warnings that appeared in the desktop  version of chrome appear on android as well. There's also an issue with the nav links. For mobile, Android, the link for the donate page does not appear after clicking on the hamburger menu symbol. These also appear on tablet</t>
  </si>
  <si>
    <t>All warnings that appeared in the firefox desktop version test appeared in the android test. This also includes the build error that happens when navigating to about us page. The link to dontate page does not appear in the navigation drop down menu after clicking the hamburger symbol. These also appear on tablet</t>
  </si>
  <si>
    <t>Browser Compatibility Test Matrix completed on 7-13-26</t>
  </si>
  <si>
    <t>Bug Reproduction Instructions.</t>
  </si>
  <si>
    <t>Chrome and Firefox Desktop bug reproduction</t>
  </si>
  <si>
    <t>Android Chrome and Firefox bug reproduction</t>
  </si>
  <si>
    <t>Safari Desktop bug reproduction</t>
  </si>
  <si>
    <t>To reproduce the bugs listed for Safari, use browser stack live and connect to an Apple desktop device or use a personal device if the tester uses an Apple Desktop computer. To reproduce the bugs for Safari Desktop, simply use the same process that is used for Chrome and Firefox Desktop bug reproduction. Navigate to the pages listed and inspect the pages. To trigger error build on About Us, same process as with windows, simply navigate using the nav bar link and the build error is triggered.</t>
  </si>
  <si>
    <t>IOS Safari bug reproduction</t>
  </si>
  <si>
    <t xml:space="preserve">To reproduce the bugs listed for the Chrome and Firefox Desktop simply navigate to home, get involved, learn, hacker hall of fame, call catalog, and support me (donate) and inspect by pressing F12 or right clicking and pressing inspect in the tab menu. They'll be listed in the console. The bugs happen automatically after mounting, there isn't a specific action or event that triggers them other than navigating to the page. For the error that occurs on About Us, same thing, simply navigate to the page via nav bar and the error occurs.  </t>
  </si>
  <si>
    <t xml:space="preserve">For reproduction of the bugs on Android, use Browser Stack or can use the mobile feature on dev tools for each browser and pick an Android device. Since all the bugs list for Desktop are the same here, reproducing them is exactly the same process. Simply navigate to each page: home, get involved, learn, hacker hall of fame, and call catalog. Right click and inspect on each page. Now, I didn't list the donate page for navigation and inspection because that's one of the errors for mobile. On Tablet and Android devices when you click on the three horizontal bars in the top right of the nav bar, hamburger symbol, you'll see all the links for the other pages except the donate page link. It's not there when using the app on Android or Tablet. For the About Us page, simply navigate by clicking on the link to the page in the nav bar via the hamburger symbol and the build error will occur. </t>
  </si>
  <si>
    <t>Bug reproduction for Iphone and Ipad is the same as Android and Tablet. Use browser stack or personal devices and navigate to the pages listed in the Android test. Right click and inspect each page.  The warnings and errors listed will appear in the console. The donate page link does not appear when the hamburger symbol in the nav bar is clicked. The About Us page error happens by simply clicking on the link to the page in the nav bar after clicking the hamburger symbol.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</si>
</sst>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20"/>
      <color rgb="FF20262D"/>
      <name val="Carlito"/>
    </font>
    <font>
      <sz val="11"/>
      <color rgb="FF5B6470"/>
      <name val="Carlito"/>
    </font>
    <font>
      <b/>
      <sz val="11"/>
      <color rgb="FFFFFFFF"/>
      <name val="Carlito"/>
    </font>
    <font>
      <b/>
      <sz val="11"/>
      <name val="Carlito"/>
    </font>
    <font>
      <b/>
      <sz val="14"/>
      <name val="Carlito"/>
    </font>
    <font>
      <b/>
      <sz val="12"/>
      <name val="Carlito"/>
    </font>
  </fonts>
  <fills count="6">
    <fill>
      <patternFill patternType="none"/>
    </fill>
    <fill>
      <patternFill patternType="gray125"/>
    </fill>
    <fill>
      <patternFill patternType="solid">
        <fgColor rgb="FFF1F6F9"/>
      </patternFill>
    </fill>
    <fill>
      <patternFill patternType="solid">
        <fgColor rgb="FF20323F"/>
      </patternFill>
    </fill>
    <fill>
      <patternFill patternType="solid">
        <fgColor rgb="FFEEF4F8"/>
      </patternFill>
    </fill>
    <fill>
      <patternFill patternType="solid">
        <fgColor rgb="FFF8FAFC"/>
      </patternFill>
    </fill>
  </fills>
  <borders count="1">
    <border>
      <left/>
      <right/>
      <top/>
      <bottom/>
      <diagonal/>
    </border>
  </borders>
  <cellStyleXfs count="1">
    <xf numFmtId="0" fontId="0" fillId="0" borderId="0"/>
  </cellStyleXfs>
  <cellXfs count="17">
    <xf numFmtId="0" fontId="0" fillId="0" borderId="0" xfId="0"/>
    <xf numFmtId="0" fontId="0" fillId="2" borderId="0" xfId="0" applyFill="1" applyAlignment="1">
      <alignment horizontal="center" vertical="center"/>
    </xf>
    <xf numFmtId="0" fontId="3" fillId="3" borderId="0" xfId="0" applyFont="1" applyFill="1"/>
    <xf numFmtId="0" fontId="3" fillId="3" borderId="0" xfId="0" applyFont="1" applyFill="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5" fillId="0" borderId="0" xfId="0" applyFont="1" applyAlignment="1">
      <alignment horizontal="center" vertical="center" wrapText="1"/>
    </xf>
    <xf numFmtId="0" fontId="0" fillId="4" borderId="0" xfId="0" applyFill="1" applyAlignment="1">
      <alignment wrapText="1"/>
    </xf>
    <xf numFmtId="0" fontId="4" fillId="4" borderId="0" xfId="0" applyFont="1" applyFill="1" applyAlignment="1">
      <alignment wrapText="1"/>
    </xf>
    <xf numFmtId="0" fontId="0" fillId="5" borderId="0" xfId="0" applyFill="1"/>
    <xf numFmtId="0" fontId="1" fillId="0" borderId="0" xfId="0" applyFont="1"/>
    <xf numFmtId="0" fontId="0" fillId="0" borderId="0" xfId="0"/>
    <xf numFmtId="0" fontId="2" fillId="0" borderId="0" xfId="0" applyFont="1"/>
    <xf numFmtId="0" fontId="6" fillId="4" borderId="0" xfId="0" applyFont="1" applyFill="1" applyAlignment="1">
      <alignment wrapText="1"/>
    </xf>
    <xf numFmtId="0" fontId="0" fillId="4" borderId="0" xfId="0" applyFill="1" applyAlignment="1">
      <alignment wrapText="1"/>
    </xf>
    <xf numFmtId="0" fontId="0" fillId="0" borderId="0" xfId="0" applyAlignment="1">
      <alignment horizontal="center"/>
    </xf>
    <xf numFmtId="0" fontId="4" fillId="0" borderId="0" xfId="0" applyFont="1" applyAlignment="1">
      <alignment horizontal="center"/>
    </xf>
  </cellXfs>
  <cellStyles count="1">
    <cellStyle name="Normal" xfId="0" builtinId="0"/>
  </cellStyles>
  <dxfs count="4">
    <dxf>
      <font>
        <b/>
        <color rgb="FF92400E"/>
      </font>
      <fill>
        <patternFill patternType="solid">
          <bgColor rgb="FFFEF3C7"/>
        </patternFill>
      </fill>
    </dxf>
    <dxf>
      <font>
        <b/>
        <color rgb="FF4B5563"/>
      </font>
      <fill>
        <patternFill patternType="solid">
          <bgColor rgb="FFE5E7EB"/>
        </patternFill>
      </fill>
    </dxf>
    <dxf>
      <font>
        <b/>
        <color rgb="FF991B1B"/>
      </font>
      <fill>
        <patternFill patternType="solid">
          <bgColor rgb="FFFEE2E2"/>
        </patternFill>
      </fill>
    </dxf>
    <dxf>
      <font>
        <b/>
        <color rgb="FF166534"/>
      </font>
      <fill>
        <patternFill patternType="solid">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5"/>
  <sheetViews>
    <sheetView tabSelected="1" topLeftCell="A49" workbookViewId="0">
      <selection activeCell="A60" sqref="A60:C65"/>
    </sheetView>
  </sheetViews>
  <sheetFormatPr defaultRowHeight="13.8"/>
  <cols>
    <col min="1" max="1" width="28" customWidth="1"/>
    <col min="2" max="4" width="13" customWidth="1"/>
    <col min="5" max="5" width="15" customWidth="1"/>
    <col min="6" max="6" width="13" customWidth="1"/>
    <col min="7" max="7" width="14" customWidth="1"/>
    <col min="8" max="8" width="15" customWidth="1"/>
    <col min="9" max="9" width="14" customWidth="1"/>
    <col min="10" max="10" width="18" customWidth="1"/>
    <col min="12" max="12" width="15" customWidth="1"/>
    <col min="13" max="13" width="10" customWidth="1"/>
  </cols>
  <sheetData>
    <row r="1" spans="1:13" ht="24.6">
      <c r="A1" s="10" t="s">
        <v>54</v>
      </c>
      <c r="B1" s="11"/>
      <c r="C1" s="11"/>
      <c r="D1" s="11"/>
      <c r="E1" s="11"/>
      <c r="F1" s="11"/>
      <c r="G1" s="11"/>
      <c r="H1" s="11"/>
      <c r="I1" s="11"/>
      <c r="J1" s="11"/>
    </row>
    <row r="2" spans="1:13">
      <c r="A2" s="12" t="s">
        <v>0</v>
      </c>
      <c r="B2" s="11"/>
      <c r="C2" s="11"/>
      <c r="D2" s="11"/>
      <c r="E2" s="11"/>
      <c r="F2" s="11"/>
      <c r="G2" s="11"/>
      <c r="H2" s="11"/>
      <c r="I2" s="11"/>
      <c r="J2" s="11"/>
    </row>
    <row r="4" spans="1:13">
      <c r="A4" s="1" t="s">
        <v>1</v>
      </c>
      <c r="B4" s="1" t="s">
        <v>2</v>
      </c>
      <c r="C4" s="1" t="s">
        <v>3</v>
      </c>
      <c r="D4" s="1" t="s">
        <v>4</v>
      </c>
      <c r="E4" s="1" t="s">
        <v>5</v>
      </c>
      <c r="F4" s="1" t="s">
        <v>6</v>
      </c>
      <c r="G4" s="1" t="s">
        <v>7</v>
      </c>
      <c r="H4" s="1" t="s">
        <v>8</v>
      </c>
    </row>
    <row r="6" spans="1:13" ht="33.6" customHeight="1">
      <c r="A6" s="3" t="s">
        <v>9</v>
      </c>
      <c r="B6" s="3" t="s">
        <v>10</v>
      </c>
      <c r="C6" s="3" t="s">
        <v>11</v>
      </c>
      <c r="D6" s="3" t="s">
        <v>12</v>
      </c>
      <c r="E6" s="3" t="s">
        <v>13</v>
      </c>
      <c r="F6" s="3" t="s">
        <v>14</v>
      </c>
      <c r="G6" s="3" t="s">
        <v>15</v>
      </c>
      <c r="H6" s="3" t="s">
        <v>16</v>
      </c>
      <c r="I6" s="3" t="s">
        <v>17</v>
      </c>
      <c r="J6" s="3" t="s">
        <v>18</v>
      </c>
      <c r="L6" s="2" t="s">
        <v>19</v>
      </c>
      <c r="M6" s="2" t="s">
        <v>20</v>
      </c>
    </row>
    <row r="7" spans="1:13" ht="28.8" customHeight="1">
      <c r="A7" s="5" t="s">
        <v>21</v>
      </c>
      <c r="B7" s="6" t="s">
        <v>1</v>
      </c>
      <c r="C7" s="6" t="s">
        <v>1</v>
      </c>
      <c r="D7" s="6" t="s">
        <v>1</v>
      </c>
      <c r="E7" s="6" t="s">
        <v>1</v>
      </c>
      <c r="F7" s="6" t="s">
        <v>1</v>
      </c>
      <c r="G7" s="6" t="s">
        <v>1</v>
      </c>
      <c r="H7" s="6" t="s">
        <v>1</v>
      </c>
      <c r="I7" s="6" t="s">
        <v>3</v>
      </c>
      <c r="J7" s="4" t="s">
        <v>49</v>
      </c>
      <c r="L7" s="9" t="s">
        <v>2</v>
      </c>
      <c r="M7" s="9">
        <f>COUNTIF(B7:I14,"✓")</f>
        <v>42</v>
      </c>
    </row>
    <row r="8" spans="1:13" ht="28.8" customHeight="1">
      <c r="A8" s="5" t="s">
        <v>22</v>
      </c>
      <c r="B8" s="6" t="s">
        <v>1</v>
      </c>
      <c r="C8" s="6" t="s">
        <v>1</v>
      </c>
      <c r="D8" s="6" t="s">
        <v>1</v>
      </c>
      <c r="E8" s="6" t="s">
        <v>1</v>
      </c>
      <c r="F8" s="6" t="s">
        <v>1</v>
      </c>
      <c r="G8" s="6" t="s">
        <v>1</v>
      </c>
      <c r="H8" s="6" t="s">
        <v>1</v>
      </c>
      <c r="I8" s="6" t="s">
        <v>3</v>
      </c>
      <c r="J8" s="4" t="s">
        <v>48</v>
      </c>
      <c r="L8" s="9" t="s">
        <v>4</v>
      </c>
      <c r="M8" s="9">
        <f>COUNTIF(B7:I14,"✗")</f>
        <v>6</v>
      </c>
    </row>
    <row r="9" spans="1:13" ht="28.8" customHeight="1">
      <c r="A9" s="5" t="s">
        <v>23</v>
      </c>
      <c r="B9" s="6" t="s">
        <v>1</v>
      </c>
      <c r="C9" s="6" t="s">
        <v>1</v>
      </c>
      <c r="D9" s="6" t="s">
        <v>1</v>
      </c>
      <c r="E9" s="6" t="s">
        <v>1</v>
      </c>
      <c r="F9" s="6" t="s">
        <v>1</v>
      </c>
      <c r="G9" s="6" t="s">
        <v>1</v>
      </c>
      <c r="H9" s="6" t="s">
        <v>1</v>
      </c>
      <c r="I9" s="6" t="s">
        <v>3</v>
      </c>
      <c r="J9" s="4" t="s">
        <v>50</v>
      </c>
      <c r="L9" s="9" t="s">
        <v>5</v>
      </c>
      <c r="M9" s="9">
        <f>COUNTIF(B7:I14,"N/A")</f>
        <v>0</v>
      </c>
    </row>
    <row r="10" spans="1:13" ht="28.8" customHeight="1">
      <c r="A10" s="5" t="s">
        <v>24</v>
      </c>
      <c r="B10" s="6" t="s">
        <v>1</v>
      </c>
      <c r="C10" s="6" t="s">
        <v>1</v>
      </c>
      <c r="D10" s="6" t="s">
        <v>1</v>
      </c>
      <c r="E10" s="6" t="s">
        <v>1</v>
      </c>
      <c r="F10" s="6" t="s">
        <v>1</v>
      </c>
      <c r="G10" s="6" t="s">
        <v>1</v>
      </c>
      <c r="H10" s="6" t="s">
        <v>1</v>
      </c>
      <c r="I10" s="6" t="s">
        <v>3</v>
      </c>
      <c r="J10" s="4" t="s">
        <v>51</v>
      </c>
      <c r="L10" s="9" t="s">
        <v>25</v>
      </c>
      <c r="M10" s="9">
        <f>COUNTIF(B7:I14,"—")</f>
        <v>16</v>
      </c>
    </row>
    <row r="11" spans="1:13" ht="28.8" customHeight="1">
      <c r="A11" s="5" t="s">
        <v>26</v>
      </c>
      <c r="B11" s="6" t="s">
        <v>1</v>
      </c>
      <c r="C11" s="6" t="s">
        <v>1</v>
      </c>
      <c r="D11" s="6" t="s">
        <v>1</v>
      </c>
      <c r="E11" s="6" t="s">
        <v>1</v>
      </c>
      <c r="F11" s="6" t="s">
        <v>1</v>
      </c>
      <c r="G11" s="6" t="s">
        <v>1</v>
      </c>
      <c r="H11" s="6" t="s">
        <v>1</v>
      </c>
      <c r="I11" s="6" t="s">
        <v>3</v>
      </c>
      <c r="J11" s="4" t="s">
        <v>52</v>
      </c>
    </row>
    <row r="12" spans="1:13" ht="28.8" customHeight="1">
      <c r="A12" s="5" t="s">
        <v>27</v>
      </c>
      <c r="B12" s="6" t="s">
        <v>1</v>
      </c>
      <c r="C12" s="6" t="s">
        <v>1</v>
      </c>
      <c r="D12" s="6" t="s">
        <v>1</v>
      </c>
      <c r="E12" s="6" t="s">
        <v>1</v>
      </c>
      <c r="F12" s="6" t="s">
        <v>1</v>
      </c>
      <c r="G12" s="6" t="s">
        <v>1</v>
      </c>
      <c r="H12" s="6" t="s">
        <v>1</v>
      </c>
      <c r="I12" s="6" t="s">
        <v>3</v>
      </c>
      <c r="J12" s="4" t="s">
        <v>53</v>
      </c>
    </row>
    <row r="13" spans="1:13" ht="28.8" customHeight="1">
      <c r="A13" s="5" t="s">
        <v>28</v>
      </c>
      <c r="B13" s="6" t="s">
        <v>7</v>
      </c>
      <c r="C13" s="6" t="s">
        <v>7</v>
      </c>
      <c r="D13" s="6" t="s">
        <v>7</v>
      </c>
      <c r="E13" s="6" t="s">
        <v>7</v>
      </c>
      <c r="F13" s="6" t="s">
        <v>7</v>
      </c>
      <c r="G13" s="6" t="s">
        <v>7</v>
      </c>
      <c r="H13" s="6" t="s">
        <v>7</v>
      </c>
      <c r="I13" s="6" t="s">
        <v>7</v>
      </c>
      <c r="J13" s="4" t="s">
        <v>29</v>
      </c>
    </row>
    <row r="14" spans="1:13" ht="28.8" customHeight="1">
      <c r="A14" s="5" t="s">
        <v>30</v>
      </c>
      <c r="B14" s="6" t="s">
        <v>7</v>
      </c>
      <c r="C14" s="6" t="s">
        <v>7</v>
      </c>
      <c r="D14" s="6" t="s">
        <v>7</v>
      </c>
      <c r="E14" s="6" t="s">
        <v>7</v>
      </c>
      <c r="F14" s="6" t="s">
        <v>7</v>
      </c>
      <c r="G14" s="6" t="s">
        <v>7</v>
      </c>
      <c r="H14" s="6" t="s">
        <v>7</v>
      </c>
      <c r="I14" s="6" t="s">
        <v>7</v>
      </c>
      <c r="J14" s="4" t="s">
        <v>29</v>
      </c>
    </row>
    <row r="17" spans="1:10" ht="14.4">
      <c r="A17" s="13" t="s">
        <v>31</v>
      </c>
      <c r="B17" s="14"/>
      <c r="C17" s="14"/>
      <c r="D17" s="14"/>
      <c r="E17" s="14"/>
      <c r="F17" s="14"/>
      <c r="G17" s="14"/>
      <c r="H17" s="14"/>
      <c r="I17" s="14"/>
      <c r="J17" s="14"/>
    </row>
    <row r="18" spans="1:10" ht="82.8">
      <c r="A18" s="8" t="s">
        <v>32</v>
      </c>
      <c r="B18" s="7" t="s">
        <v>33</v>
      </c>
      <c r="C18" s="7"/>
      <c r="D18" s="7"/>
      <c r="E18" s="7"/>
      <c r="F18" s="8" t="s">
        <v>34</v>
      </c>
      <c r="G18" s="7" t="s">
        <v>35</v>
      </c>
      <c r="H18" s="7"/>
      <c r="I18" s="7"/>
      <c r="J18" s="7"/>
    </row>
    <row r="19" spans="1:10" ht="110.4">
      <c r="A19" s="8" t="s">
        <v>36</v>
      </c>
      <c r="B19" s="7" t="s">
        <v>37</v>
      </c>
      <c r="C19" s="7"/>
      <c r="D19" s="7"/>
      <c r="E19" s="7"/>
      <c r="F19" s="8" t="s">
        <v>38</v>
      </c>
      <c r="G19" s="7" t="s">
        <v>39</v>
      </c>
      <c r="H19" s="7"/>
      <c r="I19" s="7"/>
      <c r="J19" s="7"/>
    </row>
    <row r="20" spans="1:10" ht="82.8">
      <c r="A20" s="8" t="s">
        <v>40</v>
      </c>
      <c r="B20" s="7" t="s">
        <v>41</v>
      </c>
      <c r="C20" s="7"/>
      <c r="D20" s="7"/>
      <c r="E20" s="7"/>
      <c r="F20" s="8" t="s">
        <v>42</v>
      </c>
      <c r="G20" s="7" t="s">
        <v>43</v>
      </c>
      <c r="H20" s="7"/>
      <c r="I20" s="7"/>
      <c r="J20" s="7"/>
    </row>
    <row r="21" spans="1:10" ht="82.8">
      <c r="A21" s="8" t="s">
        <v>44</v>
      </c>
      <c r="B21" s="7" t="s">
        <v>45</v>
      </c>
      <c r="C21" s="7"/>
      <c r="D21" s="7"/>
      <c r="E21" s="7"/>
      <c r="F21" s="8" t="s">
        <v>46</v>
      </c>
      <c r="G21" s="7" t="s">
        <v>47</v>
      </c>
      <c r="H21" s="7"/>
      <c r="I21" s="7"/>
      <c r="J21" s="7"/>
    </row>
    <row r="24" spans="1:10">
      <c r="A24" s="16" t="s">
        <v>55</v>
      </c>
      <c r="B24" s="15"/>
      <c r="C24" s="15"/>
      <c r="D24" s="15"/>
      <c r="E24" s="15"/>
    </row>
    <row r="25" spans="1:10">
      <c r="A25" s="16" t="s">
        <v>56</v>
      </c>
      <c r="B25" s="15"/>
      <c r="C25" s="15"/>
    </row>
    <row r="26" spans="1:10">
      <c r="A26" s="15" t="s">
        <v>61</v>
      </c>
      <c r="B26" s="15"/>
      <c r="C26" s="15"/>
    </row>
    <row r="27" spans="1:10">
      <c r="A27" s="15"/>
      <c r="B27" s="15"/>
      <c r="C27" s="15"/>
    </row>
    <row r="28" spans="1:10">
      <c r="A28" s="15"/>
      <c r="B28" s="15"/>
      <c r="C28" s="15"/>
    </row>
    <row r="29" spans="1:10">
      <c r="A29" s="15"/>
      <c r="B29" s="15"/>
      <c r="C29" s="15"/>
    </row>
    <row r="30" spans="1:10">
      <c r="A30" s="15"/>
      <c r="B30" s="15"/>
      <c r="C30" s="15"/>
    </row>
    <row r="31" spans="1:10">
      <c r="A31" s="15"/>
      <c r="B31" s="15"/>
      <c r="C31" s="15"/>
    </row>
    <row r="32" spans="1:10">
      <c r="A32" s="15"/>
      <c r="B32" s="15"/>
      <c r="C32" s="15"/>
    </row>
    <row r="33" spans="1:3">
      <c r="A33" s="15"/>
      <c r="B33" s="15"/>
      <c r="C33" s="15"/>
    </row>
    <row r="34" spans="1:3">
      <c r="A34" s="15"/>
      <c r="B34" s="15"/>
      <c r="C34" s="15"/>
    </row>
    <row r="36" spans="1:3">
      <c r="A36" s="16" t="s">
        <v>57</v>
      </c>
      <c r="B36" s="15"/>
      <c r="C36" s="15"/>
    </row>
    <row r="38" spans="1:3">
      <c r="A38" s="15" t="s">
        <v>62</v>
      </c>
      <c r="B38" s="15"/>
      <c r="C38" s="15"/>
    </row>
    <row r="39" spans="1:3">
      <c r="A39" s="15"/>
      <c r="B39" s="15"/>
      <c r="C39" s="15"/>
    </row>
    <row r="40" spans="1:3">
      <c r="A40" s="15"/>
      <c r="B40" s="15"/>
      <c r="C40" s="15"/>
    </row>
    <row r="41" spans="1:3">
      <c r="A41" s="15"/>
      <c r="B41" s="15"/>
      <c r="C41" s="15"/>
    </row>
    <row r="42" spans="1:3">
      <c r="A42" s="15"/>
      <c r="B42" s="15"/>
      <c r="C42" s="15"/>
    </row>
    <row r="43" spans="1:3">
      <c r="A43" s="15"/>
      <c r="B43" s="15"/>
      <c r="C43" s="15"/>
    </row>
    <row r="44" spans="1:3">
      <c r="A44" s="15"/>
      <c r="B44" s="15"/>
      <c r="C44" s="15"/>
    </row>
    <row r="46" spans="1:3">
      <c r="A46" s="16" t="s">
        <v>58</v>
      </c>
      <c r="B46" s="15"/>
      <c r="C46" s="15"/>
    </row>
    <row r="48" spans="1:3">
      <c r="A48" s="15" t="s">
        <v>59</v>
      </c>
      <c r="B48" s="15"/>
      <c r="C48" s="15"/>
    </row>
    <row r="49" spans="1:3">
      <c r="A49" s="15"/>
      <c r="B49" s="15"/>
      <c r="C49" s="15"/>
    </row>
    <row r="50" spans="1:3">
      <c r="A50" s="15"/>
      <c r="B50" s="15"/>
      <c r="C50" s="15"/>
    </row>
    <row r="51" spans="1:3">
      <c r="A51" s="15"/>
      <c r="B51" s="15"/>
      <c r="C51" s="15"/>
    </row>
    <row r="52" spans="1:3">
      <c r="A52" s="15"/>
      <c r="B52" s="15"/>
      <c r="C52" s="15"/>
    </row>
    <row r="53" spans="1:3">
      <c r="A53" s="15"/>
      <c r="B53" s="15"/>
      <c r="C53" s="15"/>
    </row>
    <row r="54" spans="1:3">
      <c r="A54" s="15"/>
      <c r="B54" s="15"/>
      <c r="C54" s="15"/>
    </row>
    <row r="55" spans="1:3">
      <c r="A55" s="15"/>
      <c r="B55" s="15"/>
      <c r="C55" s="15"/>
    </row>
    <row r="58" spans="1:3">
      <c r="A58" s="16" t="s">
        <v>60</v>
      </c>
      <c r="B58" s="15"/>
      <c r="C58" s="15"/>
    </row>
    <row r="60" spans="1:3">
      <c r="A60" s="15" t="s">
        <v>63</v>
      </c>
      <c r="B60" s="15"/>
      <c r="C60" s="15"/>
    </row>
    <row r="61" spans="1:3">
      <c r="A61" s="15"/>
      <c r="B61" s="15"/>
      <c r="C61" s="15"/>
    </row>
    <row r="62" spans="1:3">
      <c r="A62" s="15"/>
      <c r="B62" s="15"/>
      <c r="C62" s="15"/>
    </row>
    <row r="63" spans="1:3">
      <c r="A63" s="15"/>
      <c r="B63" s="15"/>
      <c r="C63" s="15"/>
    </row>
    <row r="64" spans="1:3">
      <c r="A64" s="15"/>
      <c r="B64" s="15"/>
      <c r="C64" s="15"/>
    </row>
    <row r="65" spans="1:3">
      <c r="A65" s="15"/>
      <c r="B65" s="15"/>
      <c r="C65" s="15"/>
    </row>
  </sheetData>
  <mergeCells count="12">
    <mergeCell ref="A58:C58"/>
    <mergeCell ref="A60:C65"/>
    <mergeCell ref="A26:C34"/>
    <mergeCell ref="A36:C36"/>
    <mergeCell ref="A38:C44"/>
    <mergeCell ref="A46:C46"/>
    <mergeCell ref="A48:C55"/>
    <mergeCell ref="A1:J1"/>
    <mergeCell ref="A2:J2"/>
    <mergeCell ref="A17:J17"/>
    <mergeCell ref="A24:E24"/>
    <mergeCell ref="A25:C25"/>
  </mergeCells>
  <conditionalFormatting sqref="B7:I14">
    <cfRule type="expression" dxfId="3" priority="1">
      <formula>B7="✓"</formula>
    </cfRule>
    <cfRule type="expression" dxfId="2" priority="2">
      <formula>B7="✗"</formula>
    </cfRule>
    <cfRule type="expression" dxfId="1" priority="3">
      <formula>B7="N/A"</formula>
    </cfRule>
    <cfRule type="expression" dxfId="0" priority="4">
      <formula>B7="—"</formula>
    </cfRule>
  </conditionalFormatting>
  <dataValidations count="1">
    <dataValidation type="list" sqref="B7:I14" xr:uid="{00000000-0002-0000-0000-000000000000}">
      <formula1>"✓,✗,N/A,—"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Browser Test Matrix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stephen.aranda</cp:lastModifiedBy>
  <dcterms:modified xsi:type="dcterms:W3CDTF">2026-07-13T18:09:12Z</dcterms:modified>
</cp:coreProperties>
</file>